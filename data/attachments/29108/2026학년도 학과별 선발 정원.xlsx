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ATA\20261\2026학년도 교직과정 이수예정자 선발 계획 안내\"/>
    </mc:Choice>
  </mc:AlternateContent>
  <xr:revisionPtr revIDLastSave="0" documentId="13_ncr:1_{2DD8AC7A-7D1D-4527-A09F-8861DDEF1DE4}" xr6:coauthVersionLast="47" xr6:coauthVersionMax="47" xr10:uidLastSave="{00000000-0000-0000-0000-000000000000}"/>
  <bookViews>
    <workbookView xWindow="1950" yWindow="1950" windowWidth="23190" windowHeight="15885" xr2:uid="{00000000-000D-0000-FFFF-FFFF00000000}"/>
  </bookViews>
  <sheets>
    <sheet name="선발가능인원_" sheetId="1" r:id="rId1"/>
  </sheets>
  <definedNames>
    <definedName name="_xlnm._FilterDatabase" localSheetId="0" hidden="1">선발가능인원_!$A$2:$F$2</definedName>
    <definedName name="_xlnm.Print_Titles" localSheetId="0">선발가능인원_!$2:$2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7" i="1" l="1"/>
  <c r="E64" i="1"/>
  <c r="E60" i="1"/>
  <c r="E58" i="1"/>
  <c r="E54" i="1"/>
  <c r="E50" i="1"/>
  <c r="E39" i="1"/>
  <c r="E35" i="1"/>
  <c r="E25" i="1"/>
  <c r="E18" i="1"/>
  <c r="E13" i="1"/>
  <c r="E68" i="1" l="1"/>
</calcChain>
</file>

<file path=xl/sharedStrings.xml><?xml version="1.0" encoding="utf-8"?>
<sst xmlns="http://schemas.openxmlformats.org/spreadsheetml/2006/main" count="193" uniqueCount="117">
  <si>
    <t>대학</t>
    <phoneticPr fontId="2" type="noConversion"/>
  </si>
  <si>
    <t>학과</t>
    <phoneticPr fontId="2" type="noConversion"/>
  </si>
  <si>
    <t>자격종별</t>
    <phoneticPr fontId="2" type="noConversion"/>
  </si>
  <si>
    <t>표시과목</t>
    <phoneticPr fontId="2" type="noConversion"/>
  </si>
  <si>
    <t>선발정원</t>
    <phoneticPr fontId="2" type="noConversion"/>
  </si>
  <si>
    <t>비 고</t>
    <phoneticPr fontId="2" type="noConversion"/>
  </si>
  <si>
    <t>인문대학</t>
    <phoneticPr fontId="2" type="noConversion"/>
  </si>
  <si>
    <t>국어국문학과</t>
    <phoneticPr fontId="2" type="noConversion"/>
  </si>
  <si>
    <t>중등학교 정교사(2급)</t>
    <phoneticPr fontId="2" type="noConversion"/>
  </si>
  <si>
    <t>국어</t>
    <phoneticPr fontId="2" type="noConversion"/>
  </si>
  <si>
    <t>영어영문학과</t>
    <phoneticPr fontId="2" type="noConversion"/>
  </si>
  <si>
    <t>영어</t>
    <phoneticPr fontId="2" type="noConversion"/>
  </si>
  <si>
    <t>사학과</t>
    <phoneticPr fontId="2" type="noConversion"/>
  </si>
  <si>
    <t>역사</t>
    <phoneticPr fontId="2" type="noConversion"/>
  </si>
  <si>
    <t>철학과</t>
    <phoneticPr fontId="2" type="noConversion"/>
  </si>
  <si>
    <t>철학</t>
    <phoneticPr fontId="2" type="noConversion"/>
  </si>
  <si>
    <t>불어불문학과</t>
    <phoneticPr fontId="2" type="noConversion"/>
  </si>
  <si>
    <t>프랑스어</t>
    <phoneticPr fontId="2" type="noConversion"/>
  </si>
  <si>
    <t>독어독문학과</t>
    <phoneticPr fontId="2" type="noConversion"/>
  </si>
  <si>
    <t>독일어</t>
    <phoneticPr fontId="2" type="noConversion"/>
  </si>
  <si>
    <t>중어중문학과</t>
    <phoneticPr fontId="2" type="noConversion"/>
  </si>
  <si>
    <t>중국어</t>
    <phoneticPr fontId="2" type="noConversion"/>
  </si>
  <si>
    <t>일어일문학과</t>
    <phoneticPr fontId="2" type="noConversion"/>
  </si>
  <si>
    <t>일본어</t>
    <phoneticPr fontId="2" type="noConversion"/>
  </si>
  <si>
    <t>한문학과</t>
    <phoneticPr fontId="2" type="noConversion"/>
  </si>
  <si>
    <t>한문</t>
    <phoneticPr fontId="2" type="noConversion"/>
  </si>
  <si>
    <t>노어노문학과</t>
    <phoneticPr fontId="2" type="noConversion"/>
  </si>
  <si>
    <t>러시아어</t>
    <phoneticPr fontId="2" type="noConversion"/>
  </si>
  <si>
    <t>소    계</t>
    <phoneticPr fontId="2" type="noConversion"/>
  </si>
  <si>
    <t>사회과학
대      학</t>
    <phoneticPr fontId="2" type="noConversion"/>
  </si>
  <si>
    <t>사회학과</t>
    <phoneticPr fontId="2" type="noConversion"/>
  </si>
  <si>
    <t>일반사회</t>
    <phoneticPr fontId="2" type="noConversion"/>
  </si>
  <si>
    <t>지리학과</t>
    <phoneticPr fontId="2" type="noConversion"/>
  </si>
  <si>
    <t>지리</t>
    <phoneticPr fontId="2" type="noConversion"/>
  </si>
  <si>
    <t>문헌정보학과</t>
    <phoneticPr fontId="2" type="noConversion"/>
  </si>
  <si>
    <t>사서교사(2급)</t>
    <phoneticPr fontId="2" type="noConversion"/>
  </si>
  <si>
    <t>-</t>
    <phoneticPr fontId="2" type="noConversion"/>
  </si>
  <si>
    <t>심리학과</t>
    <phoneticPr fontId="2" type="noConversion"/>
  </si>
  <si>
    <t>전문상당교사(2급)</t>
    <phoneticPr fontId="2" type="noConversion"/>
  </si>
  <si>
    <t>자연과학
대      학</t>
    <phoneticPr fontId="2" type="noConversion"/>
  </si>
  <si>
    <t>수학과</t>
    <phoneticPr fontId="2" type="noConversion"/>
  </si>
  <si>
    <t>수학</t>
    <phoneticPr fontId="2" type="noConversion"/>
  </si>
  <si>
    <t>물리학과</t>
    <phoneticPr fontId="2" type="noConversion"/>
  </si>
  <si>
    <t>물리</t>
    <phoneticPr fontId="2" type="noConversion"/>
  </si>
  <si>
    <t>화학과</t>
    <phoneticPr fontId="2" type="noConversion"/>
  </si>
  <si>
    <t>화학</t>
    <phoneticPr fontId="2" type="noConversion"/>
  </si>
  <si>
    <t>생물</t>
    <phoneticPr fontId="2" type="noConversion"/>
  </si>
  <si>
    <t>통계학과</t>
    <phoneticPr fontId="2" type="noConversion"/>
  </si>
  <si>
    <t>지구시스템과학부 지질학전공</t>
    <phoneticPr fontId="2" type="noConversion"/>
  </si>
  <si>
    <t>지구과학</t>
    <phoneticPr fontId="2" type="noConversion"/>
  </si>
  <si>
    <t>공과대학</t>
    <phoneticPr fontId="2" type="noConversion"/>
  </si>
  <si>
    <t>세라믹</t>
    <phoneticPr fontId="2" type="noConversion"/>
  </si>
  <si>
    <t>기계공학부 기계공학전공</t>
    <phoneticPr fontId="2" type="noConversion"/>
  </si>
  <si>
    <t>기계</t>
    <phoneticPr fontId="2" type="noConversion"/>
  </si>
  <si>
    <t>기계공학부 기계설계학전공</t>
    <phoneticPr fontId="2" type="noConversion"/>
  </si>
  <si>
    <t>건축학부 건축학전공</t>
    <phoneticPr fontId="2" type="noConversion"/>
  </si>
  <si>
    <t>건설</t>
    <phoneticPr fontId="2" type="noConversion"/>
  </si>
  <si>
    <t>건축학부 건축공학전공</t>
    <phoneticPr fontId="2" type="noConversion"/>
  </si>
  <si>
    <t>토목공학과</t>
    <phoneticPr fontId="2" type="noConversion"/>
  </si>
  <si>
    <t>응용화학과</t>
    <phoneticPr fontId="2" type="noConversion"/>
  </si>
  <si>
    <t>화공</t>
    <phoneticPr fontId="2" type="noConversion"/>
  </si>
  <si>
    <t>화학공학과</t>
    <phoneticPr fontId="2" type="noConversion"/>
  </si>
  <si>
    <t>환경공학과</t>
    <phoneticPr fontId="2" type="noConversion"/>
  </si>
  <si>
    <t>환경</t>
    <phoneticPr fontId="2" type="noConversion"/>
  </si>
  <si>
    <t>IT대학</t>
    <phoneticPr fontId="2" type="noConversion"/>
  </si>
  <si>
    <t>전자공학부</t>
    <phoneticPr fontId="2" type="noConversion"/>
  </si>
  <si>
    <t>전자</t>
    <phoneticPr fontId="2" type="noConversion"/>
  </si>
  <si>
    <t>컴퓨터학부 플랫폼소프트웨어전공</t>
    <phoneticPr fontId="2" type="noConversion"/>
  </si>
  <si>
    <t>정보 ·컴퓨터</t>
    <phoneticPr fontId="2" type="noConversion"/>
  </si>
  <si>
    <t>전기공학과</t>
    <phoneticPr fontId="2" type="noConversion"/>
  </si>
  <si>
    <t>전기</t>
    <phoneticPr fontId="2" type="noConversion"/>
  </si>
  <si>
    <t>농업생명
과학대학</t>
    <phoneticPr fontId="2" type="noConversion"/>
  </si>
  <si>
    <t>응용생명과학부 식물생명과학전공</t>
    <phoneticPr fontId="2" type="noConversion"/>
  </si>
  <si>
    <t>식물자원 · 조경</t>
  </si>
  <si>
    <t>식품공학부 식품소재공학전공</t>
    <phoneticPr fontId="2" type="noConversion"/>
  </si>
  <si>
    <t>식품가공</t>
    <phoneticPr fontId="2" type="noConversion"/>
  </si>
  <si>
    <t>식품공학부 식품생물공학전공</t>
    <phoneticPr fontId="2" type="noConversion"/>
  </si>
  <si>
    <t>식품공학부 식품응용공학전공</t>
    <phoneticPr fontId="2" type="noConversion"/>
  </si>
  <si>
    <r>
      <t>산림과학</t>
    </r>
    <r>
      <rPr>
        <sz val="10"/>
        <rFont val="맑은 고딕"/>
        <family val="3"/>
        <charset val="129"/>
      </rPr>
      <t>·</t>
    </r>
    <r>
      <rPr>
        <sz val="10"/>
        <rFont val="돋움"/>
        <family val="3"/>
        <charset val="129"/>
      </rPr>
      <t>조경학부 임학전공</t>
    </r>
    <phoneticPr fontId="2" type="noConversion"/>
  </si>
  <si>
    <t>식물자원 · 조경</t>
    <phoneticPr fontId="2" type="noConversion"/>
  </si>
  <si>
    <t>산림과학·조경학부 임산공학전공</t>
    <phoneticPr fontId="2" type="noConversion"/>
  </si>
  <si>
    <t>산림과학·조경학부 조경학전공</t>
    <phoneticPr fontId="2" type="noConversion"/>
  </si>
  <si>
    <t>원예과학과</t>
    <phoneticPr fontId="2" type="noConversion"/>
  </si>
  <si>
    <t>농공</t>
    <phoneticPr fontId="2" type="noConversion"/>
  </si>
  <si>
    <t>식품자원경제학과</t>
    <phoneticPr fontId="2" type="noConversion"/>
  </si>
  <si>
    <t>농산물유통</t>
    <phoneticPr fontId="2" type="noConversion"/>
  </si>
  <si>
    <t>예술대학</t>
    <phoneticPr fontId="2" type="noConversion"/>
  </si>
  <si>
    <t>음악학과</t>
    <phoneticPr fontId="2" type="noConversion"/>
  </si>
  <si>
    <t>음악</t>
    <phoneticPr fontId="2" type="noConversion"/>
  </si>
  <si>
    <t>국악학과</t>
    <phoneticPr fontId="2" type="noConversion"/>
  </si>
  <si>
    <t>미술학과</t>
    <phoneticPr fontId="2" type="noConversion"/>
  </si>
  <si>
    <t>미술</t>
    <phoneticPr fontId="2" type="noConversion"/>
  </si>
  <si>
    <t>생활과학
대      학</t>
    <phoneticPr fontId="2" type="noConversion"/>
  </si>
  <si>
    <t>아동학부 아동학전공</t>
    <phoneticPr fontId="2" type="noConversion"/>
  </si>
  <si>
    <t>유치원 정교사(2급)</t>
    <phoneticPr fontId="2" type="noConversion"/>
  </si>
  <si>
    <t>의류학과</t>
    <phoneticPr fontId="2" type="noConversion"/>
  </si>
  <si>
    <t>의상</t>
    <phoneticPr fontId="2" type="noConversion"/>
  </si>
  <si>
    <t>식품영양학과</t>
    <phoneticPr fontId="2" type="noConversion"/>
  </si>
  <si>
    <t>영양교사(2급)</t>
    <phoneticPr fontId="2" type="noConversion"/>
  </si>
  <si>
    <t>간호대학</t>
    <phoneticPr fontId="2" type="noConversion"/>
  </si>
  <si>
    <t>간호학과</t>
    <phoneticPr fontId="2" type="noConversion"/>
  </si>
  <si>
    <t>보건교사(2급)</t>
    <phoneticPr fontId="2" type="noConversion"/>
  </si>
  <si>
    <t>생태환경
대      학</t>
    <phoneticPr fontId="2" type="noConversion"/>
  </si>
  <si>
    <t>축산학과</t>
    <phoneticPr fontId="2" type="noConversion"/>
  </si>
  <si>
    <t>동물자원</t>
    <phoneticPr fontId="2" type="noConversion"/>
  </si>
  <si>
    <t>말/특수동물학과</t>
    <phoneticPr fontId="2" type="noConversion"/>
  </si>
  <si>
    <t>과학기술
대      학</t>
    <phoneticPr fontId="2" type="noConversion"/>
  </si>
  <si>
    <t>식품외식산업학과</t>
    <phoneticPr fontId="2" type="noConversion"/>
  </si>
  <si>
    <t>조리</t>
    <phoneticPr fontId="2" type="noConversion"/>
  </si>
  <si>
    <t>섬유패션디자인학부 패션디자인전공</t>
    <phoneticPr fontId="2" type="noConversion"/>
  </si>
  <si>
    <t>총    계</t>
    <phoneticPr fontId="2" type="noConversion"/>
  </si>
  <si>
    <t>동물생명공학과</t>
    <phoneticPr fontId="2" type="noConversion"/>
  </si>
  <si>
    <t>생물학과</t>
    <phoneticPr fontId="2" type="noConversion"/>
  </si>
  <si>
    <t>신소재공학과</t>
    <phoneticPr fontId="2" type="noConversion"/>
  </si>
  <si>
    <t>스마트생물산업기계공학과</t>
    <phoneticPr fontId="2" type="noConversion"/>
  </si>
  <si>
    <t>2026학년도(기준년도 2025) 교직과정 이수예정자 선발 정원</t>
    <phoneticPr fontId="2" type="noConversion"/>
  </si>
  <si>
    <t>한시적 증원 기간 마감으로 인해 2027년도부터 3명이하로 감원됨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</si>
</sst>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돋움"/>
      <family val="3"/>
      <charset val="129"/>
    </font>
    <font>
      <sz val="18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맑은 고딕"/>
      <family val="3"/>
      <charset val="129"/>
    </font>
    <font>
      <sz val="10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left" vertical="center" shrinkToFit="1"/>
    </xf>
    <xf numFmtId="0" fontId="3" fillId="0" borderId="16" xfId="0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21" xfId="0" applyFont="1" applyFill="1" applyBorder="1" applyAlignment="1">
      <alignment horizontal="left" vertical="center" shrinkToFit="1"/>
    </xf>
    <xf numFmtId="0" fontId="3" fillId="0" borderId="2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left" vertical="center" shrinkToFit="1"/>
    </xf>
    <xf numFmtId="0" fontId="3" fillId="5" borderId="16" xfId="0" applyFont="1" applyFill="1" applyBorder="1" applyAlignment="1">
      <alignment horizontal="center" vertical="center" shrinkToFi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 vertical="center" shrinkToFit="1"/>
    </xf>
    <xf numFmtId="0" fontId="3" fillId="5" borderId="8" xfId="0" applyFont="1" applyFill="1" applyBorder="1" applyAlignment="1">
      <alignment horizontal="center" vertical="center" shrinkToFi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 vertical="center" wrapText="1" shrinkToFit="1"/>
    </xf>
    <xf numFmtId="0" fontId="3" fillId="5" borderId="8" xfId="0" applyFont="1" applyFill="1" applyBorder="1" applyAlignment="1">
      <alignment horizontal="center" vertical="center" wrapText="1" shrinkToFi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shrinkToFit="1"/>
    </xf>
    <xf numFmtId="0" fontId="4" fillId="4" borderId="24" xfId="0" applyFont="1" applyFill="1" applyBorder="1" applyAlignment="1">
      <alignment horizontal="center" vertical="center" shrinkToFit="1"/>
    </xf>
    <xf numFmtId="0" fontId="4" fillId="4" borderId="25" xfId="0" applyFont="1" applyFill="1" applyBorder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 shrinkToFit="1"/>
    </xf>
    <xf numFmtId="0" fontId="4" fillId="3" borderId="11" xfId="0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6" borderId="8" xfId="0" applyFont="1" applyFill="1" applyBorder="1" applyAlignment="1">
      <alignment horizontal="left" vertical="center" shrinkToFit="1"/>
    </xf>
    <xf numFmtId="0" fontId="6" fillId="6" borderId="8" xfId="0" applyFont="1" applyFill="1" applyBorder="1" applyAlignment="1">
      <alignment horizontal="center" vertical="center" shrinkToFit="1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F38" sqref="F38"/>
    </sheetView>
  </sheetViews>
  <sheetFormatPr defaultRowHeight="30.75" customHeight="1" x14ac:dyDescent="0.15"/>
  <cols>
    <col min="1" max="1" width="7.44140625" style="1" customWidth="1"/>
    <col min="2" max="2" width="21.77734375" style="40" customWidth="1"/>
    <col min="3" max="3" width="15.6640625" style="41" bestFit="1" customWidth="1"/>
    <col min="4" max="4" width="13.5546875" style="1" bestFit="1" customWidth="1"/>
    <col min="5" max="5" width="11" style="1" customWidth="1"/>
    <col min="6" max="6" width="21.6640625" style="1" customWidth="1"/>
    <col min="7" max="16384" width="8.88671875" style="1"/>
  </cols>
  <sheetData>
    <row r="1" spans="1:6" ht="39" customHeight="1" thickBot="1" x14ac:dyDescent="0.2">
      <c r="A1" s="67" t="s">
        <v>115</v>
      </c>
      <c r="B1" s="67"/>
      <c r="C1" s="67"/>
      <c r="D1" s="67"/>
      <c r="E1" s="67"/>
      <c r="F1" s="67"/>
    </row>
    <row r="2" spans="1:6" ht="30.75" customHeight="1" thickBot="1" x14ac:dyDescent="0.2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6" t="s">
        <v>5</v>
      </c>
    </row>
    <row r="3" spans="1:6" ht="30.75" hidden="1" customHeight="1" thickTop="1" x14ac:dyDescent="0.15">
      <c r="A3" s="7" t="s">
        <v>6</v>
      </c>
      <c r="B3" s="13" t="s">
        <v>7</v>
      </c>
      <c r="C3" s="14" t="s">
        <v>8</v>
      </c>
      <c r="D3" s="15" t="s">
        <v>9</v>
      </c>
      <c r="E3" s="15">
        <v>2</v>
      </c>
      <c r="F3" s="16"/>
    </row>
    <row r="4" spans="1:6" ht="30.75" hidden="1" customHeight="1" x14ac:dyDescent="0.15">
      <c r="A4" s="12"/>
      <c r="B4" s="13" t="s">
        <v>10</v>
      </c>
      <c r="C4" s="14" t="s">
        <v>8</v>
      </c>
      <c r="D4" s="15" t="s">
        <v>11</v>
      </c>
      <c r="E4" s="15">
        <v>4</v>
      </c>
      <c r="F4" s="16"/>
    </row>
    <row r="5" spans="1:6" ht="28.5" hidden="1" customHeight="1" x14ac:dyDescent="0.15">
      <c r="A5" s="12"/>
      <c r="B5" s="13" t="s">
        <v>12</v>
      </c>
      <c r="C5" s="14" t="s">
        <v>8</v>
      </c>
      <c r="D5" s="17" t="s">
        <v>13</v>
      </c>
      <c r="E5" s="15">
        <v>2</v>
      </c>
      <c r="F5" s="16"/>
    </row>
    <row r="6" spans="1:6" ht="29.25" hidden="1" customHeight="1" x14ac:dyDescent="0.15">
      <c r="A6" s="12"/>
      <c r="B6" s="13" t="s">
        <v>14</v>
      </c>
      <c r="C6" s="14" t="s">
        <v>8</v>
      </c>
      <c r="D6" s="17" t="s">
        <v>15</v>
      </c>
      <c r="E6" s="15">
        <v>1</v>
      </c>
      <c r="F6" s="16"/>
    </row>
    <row r="7" spans="1:6" ht="29.25" hidden="1" customHeight="1" x14ac:dyDescent="0.15">
      <c r="A7" s="12"/>
      <c r="B7" s="13" t="s">
        <v>16</v>
      </c>
      <c r="C7" s="14" t="s">
        <v>8</v>
      </c>
      <c r="D7" s="17" t="s">
        <v>17</v>
      </c>
      <c r="E7" s="15">
        <v>1</v>
      </c>
      <c r="F7" s="16"/>
    </row>
    <row r="8" spans="1:6" ht="34.5" hidden="1" customHeight="1" x14ac:dyDescent="0.15">
      <c r="A8" s="12"/>
      <c r="B8" s="13" t="s">
        <v>18</v>
      </c>
      <c r="C8" s="14" t="s">
        <v>8</v>
      </c>
      <c r="D8" s="17" t="s">
        <v>19</v>
      </c>
      <c r="E8" s="15">
        <v>2</v>
      </c>
      <c r="F8" s="16"/>
    </row>
    <row r="9" spans="1:6" ht="30.75" hidden="1" customHeight="1" x14ac:dyDescent="0.15">
      <c r="A9" s="12"/>
      <c r="B9" s="13" t="s">
        <v>20</v>
      </c>
      <c r="C9" s="14" t="s">
        <v>8</v>
      </c>
      <c r="D9" s="17" t="s">
        <v>21</v>
      </c>
      <c r="E9" s="15">
        <v>1</v>
      </c>
      <c r="F9" s="16"/>
    </row>
    <row r="10" spans="1:6" ht="30.75" hidden="1" customHeight="1" x14ac:dyDescent="0.15">
      <c r="A10" s="12"/>
      <c r="B10" s="13" t="s">
        <v>22</v>
      </c>
      <c r="C10" s="14" t="s">
        <v>8</v>
      </c>
      <c r="D10" s="17" t="s">
        <v>23</v>
      </c>
      <c r="E10" s="15">
        <v>1</v>
      </c>
      <c r="F10" s="16"/>
    </row>
    <row r="11" spans="1:6" ht="28.5" hidden="1" customHeight="1" x14ac:dyDescent="0.15">
      <c r="A11" s="12"/>
      <c r="B11" s="13" t="s">
        <v>24</v>
      </c>
      <c r="C11" s="14" t="s">
        <v>8</v>
      </c>
      <c r="D11" s="17" t="s">
        <v>25</v>
      </c>
      <c r="E11" s="15">
        <v>2</v>
      </c>
      <c r="F11" s="16"/>
    </row>
    <row r="12" spans="1:6" ht="30.75" hidden="1" customHeight="1" x14ac:dyDescent="0.15">
      <c r="A12" s="12"/>
      <c r="B12" s="13" t="s">
        <v>26</v>
      </c>
      <c r="C12" s="14" t="s">
        <v>8</v>
      </c>
      <c r="D12" s="15" t="s">
        <v>27</v>
      </c>
      <c r="E12" s="15">
        <v>2</v>
      </c>
      <c r="F12" s="16"/>
    </row>
    <row r="13" spans="1:6" ht="30.75" hidden="1" customHeight="1" thickBot="1" x14ac:dyDescent="0.2">
      <c r="A13" s="18"/>
      <c r="B13" s="61" t="s">
        <v>28</v>
      </c>
      <c r="C13" s="62"/>
      <c r="D13" s="63"/>
      <c r="E13" s="19">
        <f>SUM(E3:E12)</f>
        <v>18</v>
      </c>
      <c r="F13" s="20"/>
    </row>
    <row r="14" spans="1:6" ht="33" hidden="1" customHeight="1" x14ac:dyDescent="0.15">
      <c r="A14" s="21" t="s">
        <v>29</v>
      </c>
      <c r="B14" s="22" t="s">
        <v>30</v>
      </c>
      <c r="C14" s="23" t="s">
        <v>8</v>
      </c>
      <c r="D14" s="24" t="s">
        <v>31</v>
      </c>
      <c r="E14" s="25">
        <v>2</v>
      </c>
      <c r="F14" s="26"/>
    </row>
    <row r="15" spans="1:6" ht="33" hidden="1" customHeight="1" x14ac:dyDescent="0.15">
      <c r="A15" s="27"/>
      <c r="B15" s="13" t="s">
        <v>32</v>
      </c>
      <c r="C15" s="14" t="s">
        <v>8</v>
      </c>
      <c r="D15" s="17" t="s">
        <v>33</v>
      </c>
      <c r="E15" s="15">
        <v>3</v>
      </c>
      <c r="F15" s="16"/>
    </row>
    <row r="16" spans="1:6" ht="30.75" hidden="1" customHeight="1" x14ac:dyDescent="0.15">
      <c r="A16" s="27"/>
      <c r="B16" s="13" t="s">
        <v>34</v>
      </c>
      <c r="C16" s="14" t="s">
        <v>35</v>
      </c>
      <c r="D16" s="15" t="s">
        <v>36</v>
      </c>
      <c r="E16" s="15">
        <v>3</v>
      </c>
      <c r="F16" s="16"/>
    </row>
    <row r="17" spans="1:6" ht="34.5" hidden="1" customHeight="1" x14ac:dyDescent="0.15">
      <c r="A17" s="27"/>
      <c r="B17" s="13" t="s">
        <v>37</v>
      </c>
      <c r="C17" s="14" t="s">
        <v>38</v>
      </c>
      <c r="D17" s="15" t="s">
        <v>36</v>
      </c>
      <c r="E17" s="15">
        <v>2</v>
      </c>
      <c r="F17" s="28"/>
    </row>
    <row r="18" spans="1:6" ht="30.75" hidden="1" customHeight="1" thickBot="1" x14ac:dyDescent="0.2">
      <c r="A18" s="29"/>
      <c r="B18" s="61" t="s">
        <v>28</v>
      </c>
      <c r="C18" s="62"/>
      <c r="D18" s="63"/>
      <c r="E18" s="30">
        <f>SUM(E14:E17)</f>
        <v>10</v>
      </c>
      <c r="F18" s="31"/>
    </row>
    <row r="19" spans="1:6" ht="30.75" hidden="1" customHeight="1" x14ac:dyDescent="0.15">
      <c r="A19" s="27" t="s">
        <v>39</v>
      </c>
      <c r="B19" s="8" t="s">
        <v>40</v>
      </c>
      <c r="C19" s="9" t="s">
        <v>8</v>
      </c>
      <c r="D19" s="10" t="s">
        <v>41</v>
      </c>
      <c r="E19" s="10">
        <v>3</v>
      </c>
      <c r="F19" s="11"/>
    </row>
    <row r="20" spans="1:6" ht="30.75" hidden="1" customHeight="1" x14ac:dyDescent="0.15">
      <c r="A20" s="27"/>
      <c r="B20" s="13" t="s">
        <v>42</v>
      </c>
      <c r="C20" s="14" t="s">
        <v>8</v>
      </c>
      <c r="D20" s="15" t="s">
        <v>43</v>
      </c>
      <c r="E20" s="15">
        <v>3</v>
      </c>
      <c r="F20" s="16"/>
    </row>
    <row r="21" spans="1:6" ht="27" hidden="1" customHeight="1" x14ac:dyDescent="0.15">
      <c r="A21" s="27"/>
      <c r="B21" s="13" t="s">
        <v>44</v>
      </c>
      <c r="C21" s="14" t="s">
        <v>8</v>
      </c>
      <c r="D21" s="17" t="s">
        <v>45</v>
      </c>
      <c r="E21" s="15">
        <v>2</v>
      </c>
      <c r="F21" s="16"/>
    </row>
    <row r="22" spans="1:6" ht="27" hidden="1" customHeight="1" x14ac:dyDescent="0.15">
      <c r="A22" s="27"/>
      <c r="B22" s="13" t="s">
        <v>112</v>
      </c>
      <c r="C22" s="14" t="s">
        <v>8</v>
      </c>
      <c r="D22" s="17" t="s">
        <v>46</v>
      </c>
      <c r="E22" s="15">
        <v>3</v>
      </c>
      <c r="F22" s="16"/>
    </row>
    <row r="23" spans="1:6" ht="27" hidden="1" customHeight="1" x14ac:dyDescent="0.15">
      <c r="A23" s="27"/>
      <c r="B23" s="13" t="s">
        <v>47</v>
      </c>
      <c r="C23" s="14" t="s">
        <v>8</v>
      </c>
      <c r="D23" s="17" t="s">
        <v>41</v>
      </c>
      <c r="E23" s="15">
        <v>3</v>
      </c>
      <c r="F23" s="16"/>
    </row>
    <row r="24" spans="1:6" ht="27" hidden="1" customHeight="1" x14ac:dyDescent="0.15">
      <c r="A24" s="27"/>
      <c r="B24" s="13" t="s">
        <v>48</v>
      </c>
      <c r="C24" s="14" t="s">
        <v>8</v>
      </c>
      <c r="D24" s="17" t="s">
        <v>49</v>
      </c>
      <c r="E24" s="15">
        <v>3</v>
      </c>
      <c r="F24" s="16"/>
    </row>
    <row r="25" spans="1:6" ht="30.75" hidden="1" customHeight="1" thickBot="1" x14ac:dyDescent="0.2">
      <c r="A25" s="32"/>
      <c r="B25" s="61" t="s">
        <v>28</v>
      </c>
      <c r="C25" s="62"/>
      <c r="D25" s="63"/>
      <c r="E25" s="19">
        <f>SUM(E19:E24)</f>
        <v>17</v>
      </c>
      <c r="F25" s="20"/>
    </row>
    <row r="26" spans="1:6" ht="30.75" hidden="1" customHeight="1" x14ac:dyDescent="0.15">
      <c r="A26" s="33" t="s">
        <v>50</v>
      </c>
      <c r="B26" s="45" t="s">
        <v>113</v>
      </c>
      <c r="C26" s="46" t="s">
        <v>8</v>
      </c>
      <c r="D26" s="47" t="s">
        <v>51</v>
      </c>
      <c r="E26" s="48">
        <v>1</v>
      </c>
      <c r="F26" s="36"/>
    </row>
    <row r="27" spans="1:6" ht="29.25" hidden="1" customHeight="1" x14ac:dyDescent="0.15">
      <c r="A27" s="12"/>
      <c r="B27" s="49" t="s">
        <v>52</v>
      </c>
      <c r="C27" s="50" t="s">
        <v>8</v>
      </c>
      <c r="D27" s="51" t="s">
        <v>53</v>
      </c>
      <c r="E27" s="52">
        <v>1</v>
      </c>
      <c r="F27" s="16"/>
    </row>
    <row r="28" spans="1:6" ht="29.25" hidden="1" customHeight="1" x14ac:dyDescent="0.15">
      <c r="A28" s="12"/>
      <c r="B28" s="49" t="s">
        <v>54</v>
      </c>
      <c r="C28" s="50" t="s">
        <v>8</v>
      </c>
      <c r="D28" s="51" t="s">
        <v>53</v>
      </c>
      <c r="E28" s="52">
        <v>2</v>
      </c>
      <c r="F28" s="16"/>
    </row>
    <row r="29" spans="1:6" ht="30.75" hidden="1" customHeight="1" x14ac:dyDescent="0.15">
      <c r="A29" s="12"/>
      <c r="B29" s="49" t="s">
        <v>55</v>
      </c>
      <c r="C29" s="50" t="s">
        <v>8</v>
      </c>
      <c r="D29" s="51" t="s">
        <v>56</v>
      </c>
      <c r="E29" s="52">
        <v>1</v>
      </c>
      <c r="F29" s="16"/>
    </row>
    <row r="30" spans="1:6" ht="30.75" hidden="1" customHeight="1" x14ac:dyDescent="0.15">
      <c r="A30" s="12"/>
      <c r="B30" s="49" t="s">
        <v>57</v>
      </c>
      <c r="C30" s="50" t="s">
        <v>8</v>
      </c>
      <c r="D30" s="51" t="s">
        <v>56</v>
      </c>
      <c r="E30" s="52">
        <v>1</v>
      </c>
      <c r="F30" s="16"/>
    </row>
    <row r="31" spans="1:6" ht="33.75" hidden="1" customHeight="1" x14ac:dyDescent="0.15">
      <c r="A31" s="12"/>
      <c r="B31" s="49" t="s">
        <v>58</v>
      </c>
      <c r="C31" s="50" t="s">
        <v>8</v>
      </c>
      <c r="D31" s="51" t="s">
        <v>56</v>
      </c>
      <c r="E31" s="52">
        <v>1</v>
      </c>
      <c r="F31" s="16"/>
    </row>
    <row r="32" spans="1:6" ht="30.75" hidden="1" customHeight="1" x14ac:dyDescent="0.15">
      <c r="A32" s="12"/>
      <c r="B32" s="49" t="s">
        <v>59</v>
      </c>
      <c r="C32" s="50" t="s">
        <v>8</v>
      </c>
      <c r="D32" s="51" t="s">
        <v>60</v>
      </c>
      <c r="E32" s="52">
        <v>1</v>
      </c>
      <c r="F32" s="16"/>
    </row>
    <row r="33" spans="1:6" ht="30.75" hidden="1" customHeight="1" x14ac:dyDescent="0.15">
      <c r="A33" s="12"/>
      <c r="B33" s="49" t="s">
        <v>61</v>
      </c>
      <c r="C33" s="50" t="s">
        <v>8</v>
      </c>
      <c r="D33" s="51" t="s">
        <v>60</v>
      </c>
      <c r="E33" s="52">
        <v>1</v>
      </c>
      <c r="F33" s="16"/>
    </row>
    <row r="34" spans="1:6" ht="30.75" hidden="1" customHeight="1" x14ac:dyDescent="0.15">
      <c r="A34" s="12"/>
      <c r="B34" s="13" t="s">
        <v>62</v>
      </c>
      <c r="C34" s="14" t="s">
        <v>8</v>
      </c>
      <c r="D34" s="17" t="s">
        <v>63</v>
      </c>
      <c r="E34" s="15">
        <v>1</v>
      </c>
      <c r="F34" s="16"/>
    </row>
    <row r="35" spans="1:6" ht="30.75" hidden="1" customHeight="1" thickBot="1" x14ac:dyDescent="0.2">
      <c r="A35" s="29"/>
      <c r="B35" s="61" t="s">
        <v>28</v>
      </c>
      <c r="C35" s="62"/>
      <c r="D35" s="63"/>
      <c r="E35" s="30">
        <f>SUM(E26:E34)</f>
        <v>10</v>
      </c>
      <c r="F35" s="31"/>
    </row>
    <row r="36" spans="1:6" ht="30.75" customHeight="1" thickTop="1" x14ac:dyDescent="0.15">
      <c r="A36" s="27" t="s">
        <v>64</v>
      </c>
      <c r="B36" s="8" t="s">
        <v>65</v>
      </c>
      <c r="C36" s="9" t="s">
        <v>8</v>
      </c>
      <c r="D36" s="10" t="s">
        <v>66</v>
      </c>
      <c r="E36" s="10">
        <v>9</v>
      </c>
      <c r="F36" s="34"/>
    </row>
    <row r="37" spans="1:6" ht="30.75" customHeight="1" x14ac:dyDescent="0.15">
      <c r="A37" s="35"/>
      <c r="B37" s="68" t="s">
        <v>67</v>
      </c>
      <c r="C37" s="69" t="s">
        <v>8</v>
      </c>
      <c r="D37" s="70" t="s">
        <v>68</v>
      </c>
      <c r="E37" s="70">
        <v>10</v>
      </c>
      <c r="F37" s="71" t="s">
        <v>116</v>
      </c>
    </row>
    <row r="38" spans="1:6" ht="30.75" customHeight="1" x14ac:dyDescent="0.15">
      <c r="A38" s="35"/>
      <c r="B38" s="13" t="s">
        <v>69</v>
      </c>
      <c r="C38" s="14" t="s">
        <v>8</v>
      </c>
      <c r="D38" s="15" t="s">
        <v>70</v>
      </c>
      <c r="E38" s="15">
        <v>2</v>
      </c>
      <c r="F38" s="16"/>
    </row>
    <row r="39" spans="1:6" ht="30.75" customHeight="1" thickBot="1" x14ac:dyDescent="0.2">
      <c r="A39" s="29"/>
      <c r="B39" s="61" t="s">
        <v>28</v>
      </c>
      <c r="C39" s="62"/>
      <c r="D39" s="63"/>
      <c r="E39" s="30">
        <f>SUM(E36:E38)</f>
        <v>21</v>
      </c>
      <c r="F39" s="31"/>
    </row>
    <row r="40" spans="1:6" ht="30" hidden="1" customHeight="1" x14ac:dyDescent="0.15">
      <c r="A40" s="21" t="s">
        <v>71</v>
      </c>
      <c r="B40" s="22" t="s">
        <v>72</v>
      </c>
      <c r="C40" s="23" t="s">
        <v>8</v>
      </c>
      <c r="D40" s="24" t="s">
        <v>73</v>
      </c>
      <c r="E40" s="25">
        <v>1</v>
      </c>
      <c r="F40" s="36"/>
    </row>
    <row r="41" spans="1:6" ht="30.75" hidden="1" customHeight="1" x14ac:dyDescent="0.15">
      <c r="A41" s="27"/>
      <c r="B41" s="49" t="s">
        <v>74</v>
      </c>
      <c r="C41" s="50" t="s">
        <v>8</v>
      </c>
      <c r="D41" s="52" t="s">
        <v>75</v>
      </c>
      <c r="E41" s="52">
        <v>1</v>
      </c>
      <c r="F41" s="53"/>
    </row>
    <row r="42" spans="1:6" ht="30.75" hidden="1" customHeight="1" x14ac:dyDescent="0.15">
      <c r="A42" s="27"/>
      <c r="B42" s="49" t="s">
        <v>76</v>
      </c>
      <c r="C42" s="50" t="s">
        <v>8</v>
      </c>
      <c r="D42" s="52" t="s">
        <v>75</v>
      </c>
      <c r="E42" s="52">
        <v>2</v>
      </c>
      <c r="F42" s="53"/>
    </row>
    <row r="43" spans="1:6" ht="30.75" hidden="1" customHeight="1" x14ac:dyDescent="0.15">
      <c r="A43" s="27"/>
      <c r="B43" s="49" t="s">
        <v>77</v>
      </c>
      <c r="C43" s="50" t="s">
        <v>8</v>
      </c>
      <c r="D43" s="52" t="s">
        <v>75</v>
      </c>
      <c r="E43" s="52">
        <v>1</v>
      </c>
      <c r="F43" s="53"/>
    </row>
    <row r="44" spans="1:6" ht="30.75" hidden="1" customHeight="1" x14ac:dyDescent="0.15">
      <c r="A44" s="27"/>
      <c r="B44" s="54" t="s">
        <v>78</v>
      </c>
      <c r="C44" s="55" t="s">
        <v>8</v>
      </c>
      <c r="D44" s="51" t="s">
        <v>79</v>
      </c>
      <c r="E44" s="52">
        <v>2</v>
      </c>
      <c r="F44" s="53"/>
    </row>
    <row r="45" spans="1:6" ht="30.75" hidden="1" customHeight="1" x14ac:dyDescent="0.15">
      <c r="A45" s="27"/>
      <c r="B45" s="49" t="s">
        <v>80</v>
      </c>
      <c r="C45" s="50" t="s">
        <v>8</v>
      </c>
      <c r="D45" s="52" t="s">
        <v>73</v>
      </c>
      <c r="E45" s="52">
        <v>2</v>
      </c>
      <c r="F45" s="53"/>
    </row>
    <row r="46" spans="1:6" ht="30.75" hidden="1" customHeight="1" x14ac:dyDescent="0.15">
      <c r="A46" s="27"/>
      <c r="B46" s="49" t="s">
        <v>81</v>
      </c>
      <c r="C46" s="50" t="s">
        <v>8</v>
      </c>
      <c r="D46" s="52" t="s">
        <v>73</v>
      </c>
      <c r="E46" s="52">
        <v>1</v>
      </c>
      <c r="F46" s="53"/>
    </row>
    <row r="47" spans="1:6" ht="30" hidden="1" customHeight="1" x14ac:dyDescent="0.15">
      <c r="A47" s="27"/>
      <c r="B47" s="49" t="s">
        <v>82</v>
      </c>
      <c r="C47" s="50" t="s">
        <v>8</v>
      </c>
      <c r="D47" s="51" t="s">
        <v>79</v>
      </c>
      <c r="E47" s="52">
        <v>2</v>
      </c>
      <c r="F47" s="57"/>
    </row>
    <row r="48" spans="1:6" ht="32.25" hidden="1" customHeight="1" x14ac:dyDescent="0.15">
      <c r="A48" s="27"/>
      <c r="B48" s="49" t="s">
        <v>114</v>
      </c>
      <c r="C48" s="50" t="s">
        <v>8</v>
      </c>
      <c r="D48" s="51" t="s">
        <v>83</v>
      </c>
      <c r="E48" s="52">
        <v>1</v>
      </c>
      <c r="F48" s="56"/>
    </row>
    <row r="49" spans="1:6" ht="34.5" hidden="1" customHeight="1" x14ac:dyDescent="0.15">
      <c r="A49" s="27"/>
      <c r="B49" s="49" t="s">
        <v>84</v>
      </c>
      <c r="C49" s="50" t="s">
        <v>8</v>
      </c>
      <c r="D49" s="52" t="s">
        <v>85</v>
      </c>
      <c r="E49" s="52">
        <v>2</v>
      </c>
      <c r="F49" s="53"/>
    </row>
    <row r="50" spans="1:6" ht="30.75" hidden="1" customHeight="1" thickBot="1" x14ac:dyDescent="0.2">
      <c r="A50" s="29"/>
      <c r="B50" s="61" t="s">
        <v>28</v>
      </c>
      <c r="C50" s="62"/>
      <c r="D50" s="63"/>
      <c r="E50" s="30">
        <f>SUM(E40:E49)</f>
        <v>15</v>
      </c>
      <c r="F50" s="31"/>
    </row>
    <row r="51" spans="1:6" ht="30.75" hidden="1" customHeight="1" x14ac:dyDescent="0.15">
      <c r="A51" s="12" t="s">
        <v>86</v>
      </c>
      <c r="B51" s="8" t="s">
        <v>87</v>
      </c>
      <c r="C51" s="9" t="s">
        <v>8</v>
      </c>
      <c r="D51" s="10" t="s">
        <v>88</v>
      </c>
      <c r="E51" s="10">
        <v>3</v>
      </c>
      <c r="F51" s="11"/>
    </row>
    <row r="52" spans="1:6" ht="30.75" hidden="1" customHeight="1" x14ac:dyDescent="0.15">
      <c r="A52" s="12"/>
      <c r="B52" s="13" t="s">
        <v>89</v>
      </c>
      <c r="C52" s="14" t="s">
        <v>8</v>
      </c>
      <c r="D52" s="15" t="s">
        <v>88</v>
      </c>
      <c r="E52" s="15">
        <v>2</v>
      </c>
      <c r="F52" s="16"/>
    </row>
    <row r="53" spans="1:6" ht="30.75" hidden="1" customHeight="1" x14ac:dyDescent="0.15">
      <c r="A53" s="12"/>
      <c r="B53" s="13" t="s">
        <v>90</v>
      </c>
      <c r="C53" s="14" t="s">
        <v>8</v>
      </c>
      <c r="D53" s="15" t="s">
        <v>91</v>
      </c>
      <c r="E53" s="15">
        <v>3</v>
      </c>
      <c r="F53" s="16"/>
    </row>
    <row r="54" spans="1:6" ht="30.75" hidden="1" customHeight="1" thickBot="1" x14ac:dyDescent="0.2">
      <c r="A54" s="32"/>
      <c r="B54" s="61" t="s">
        <v>28</v>
      </c>
      <c r="C54" s="62"/>
      <c r="D54" s="63"/>
      <c r="E54" s="19">
        <f>SUM(E51:E53)</f>
        <v>8</v>
      </c>
      <c r="F54" s="20"/>
    </row>
    <row r="55" spans="1:6" ht="30" hidden="1" customHeight="1" x14ac:dyDescent="0.15">
      <c r="A55" s="21" t="s">
        <v>92</v>
      </c>
      <c r="B55" s="22" t="s">
        <v>93</v>
      </c>
      <c r="C55" s="23" t="s">
        <v>94</v>
      </c>
      <c r="D55" s="25" t="s">
        <v>36</v>
      </c>
      <c r="E55" s="25">
        <v>2</v>
      </c>
      <c r="F55" s="26"/>
    </row>
    <row r="56" spans="1:6" ht="30" hidden="1" customHeight="1" x14ac:dyDescent="0.15">
      <c r="A56" s="27"/>
      <c r="B56" s="13" t="s">
        <v>95</v>
      </c>
      <c r="C56" s="14" t="s">
        <v>8</v>
      </c>
      <c r="D56" s="15" t="s">
        <v>96</v>
      </c>
      <c r="E56" s="15">
        <v>2</v>
      </c>
      <c r="F56" s="16"/>
    </row>
    <row r="57" spans="1:6" ht="30" hidden="1" customHeight="1" x14ac:dyDescent="0.15">
      <c r="A57" s="27"/>
      <c r="B57" s="13" t="s">
        <v>97</v>
      </c>
      <c r="C57" s="14" t="s">
        <v>98</v>
      </c>
      <c r="D57" s="15" t="s">
        <v>36</v>
      </c>
      <c r="E57" s="15">
        <v>2</v>
      </c>
      <c r="F57" s="16"/>
    </row>
    <row r="58" spans="1:6" ht="30.75" hidden="1" customHeight="1" thickBot="1" x14ac:dyDescent="0.2">
      <c r="A58" s="29"/>
      <c r="B58" s="61" t="s">
        <v>28</v>
      </c>
      <c r="C58" s="62"/>
      <c r="D58" s="63"/>
      <c r="E58" s="30">
        <f>SUM(E55:E57)</f>
        <v>6</v>
      </c>
      <c r="F58" s="31"/>
    </row>
    <row r="59" spans="1:6" ht="30.75" hidden="1" customHeight="1" x14ac:dyDescent="0.15">
      <c r="A59" s="27" t="s">
        <v>99</v>
      </c>
      <c r="B59" s="8" t="s">
        <v>100</v>
      </c>
      <c r="C59" s="9" t="s">
        <v>101</v>
      </c>
      <c r="D59" s="10" t="s">
        <v>36</v>
      </c>
      <c r="E59" s="10">
        <v>8</v>
      </c>
      <c r="F59" s="11"/>
    </row>
    <row r="60" spans="1:6" ht="30.75" hidden="1" customHeight="1" thickBot="1" x14ac:dyDescent="0.2">
      <c r="A60" s="32"/>
      <c r="B60" s="61" t="s">
        <v>28</v>
      </c>
      <c r="C60" s="62"/>
      <c r="D60" s="63"/>
      <c r="E60" s="19">
        <f>SUM(E59:E59)</f>
        <v>8</v>
      </c>
      <c r="F60" s="20"/>
    </row>
    <row r="61" spans="1:6" ht="30.75" hidden="1" customHeight="1" x14ac:dyDescent="0.15">
      <c r="A61" s="21" t="s">
        <v>102</v>
      </c>
      <c r="B61" s="22" t="s">
        <v>103</v>
      </c>
      <c r="C61" s="23" t="s">
        <v>8</v>
      </c>
      <c r="D61" s="25" t="s">
        <v>104</v>
      </c>
      <c r="E61" s="25">
        <v>1</v>
      </c>
      <c r="F61" s="26"/>
    </row>
    <row r="62" spans="1:6" ht="30.75" hidden="1" customHeight="1" x14ac:dyDescent="0.15">
      <c r="A62" s="12"/>
      <c r="B62" s="13" t="s">
        <v>111</v>
      </c>
      <c r="C62" s="14" t="s">
        <v>8</v>
      </c>
      <c r="D62" s="15" t="s">
        <v>104</v>
      </c>
      <c r="E62" s="15">
        <v>1</v>
      </c>
      <c r="F62" s="16"/>
    </row>
    <row r="63" spans="1:6" ht="30.75" hidden="1" customHeight="1" x14ac:dyDescent="0.15">
      <c r="A63" s="12"/>
      <c r="B63" s="42" t="s">
        <v>105</v>
      </c>
      <c r="C63" s="14" t="s">
        <v>8</v>
      </c>
      <c r="D63" s="43" t="s">
        <v>104</v>
      </c>
      <c r="E63" s="44">
        <v>2</v>
      </c>
      <c r="F63" s="37"/>
    </row>
    <row r="64" spans="1:6" ht="30.75" hidden="1" customHeight="1" thickBot="1" x14ac:dyDescent="0.2">
      <c r="A64" s="29"/>
      <c r="B64" s="61" t="s">
        <v>28</v>
      </c>
      <c r="C64" s="62"/>
      <c r="D64" s="63"/>
      <c r="E64" s="30">
        <f>SUM(E61:E63)</f>
        <v>4</v>
      </c>
      <c r="F64" s="31"/>
    </row>
    <row r="65" spans="1:6" ht="30.75" hidden="1" customHeight="1" x14ac:dyDescent="0.15">
      <c r="A65" s="27" t="s">
        <v>106</v>
      </c>
      <c r="B65" s="8" t="s">
        <v>107</v>
      </c>
      <c r="C65" s="9" t="s">
        <v>8</v>
      </c>
      <c r="D65" s="10" t="s">
        <v>108</v>
      </c>
      <c r="E65" s="10">
        <v>4</v>
      </c>
      <c r="F65" s="11"/>
    </row>
    <row r="66" spans="1:6" ht="30.75" hidden="1" customHeight="1" x14ac:dyDescent="0.15">
      <c r="A66" s="12"/>
      <c r="B66" s="13" t="s">
        <v>109</v>
      </c>
      <c r="C66" s="14" t="s">
        <v>8</v>
      </c>
      <c r="D66" s="15" t="s">
        <v>96</v>
      </c>
      <c r="E66" s="15">
        <v>3</v>
      </c>
      <c r="F66" s="16"/>
    </row>
    <row r="67" spans="1:6" ht="30.75" hidden="1" customHeight="1" thickBot="1" x14ac:dyDescent="0.2">
      <c r="A67" s="29"/>
      <c r="B67" s="64" t="s">
        <v>28</v>
      </c>
      <c r="C67" s="65"/>
      <c r="D67" s="66"/>
      <c r="E67" s="19">
        <f>SUM(E65:E66)</f>
        <v>7</v>
      </c>
      <c r="F67" s="20"/>
    </row>
    <row r="68" spans="1:6" ht="30.75" hidden="1" customHeight="1" thickBot="1" x14ac:dyDescent="0.2">
      <c r="A68" s="58" t="s">
        <v>110</v>
      </c>
      <c r="B68" s="59"/>
      <c r="C68" s="59"/>
      <c r="D68" s="60"/>
      <c r="E68" s="38">
        <f>E67+E64+E39+E58+E60+E54+E50+E35+E25+E18+E13</f>
        <v>124</v>
      </c>
      <c r="F68" s="39"/>
    </row>
  </sheetData>
  <autoFilter ref="A2:F2" xr:uid="{00000000-0009-0000-0000-000000000000}"/>
  <mergeCells count="13">
    <mergeCell ref="B39:D39"/>
    <mergeCell ref="A1:F1"/>
    <mergeCell ref="B13:D13"/>
    <mergeCell ref="B18:D18"/>
    <mergeCell ref="B25:D25"/>
    <mergeCell ref="B35:D35"/>
    <mergeCell ref="A68:D68"/>
    <mergeCell ref="B50:D50"/>
    <mergeCell ref="B54:D54"/>
    <mergeCell ref="B58:D58"/>
    <mergeCell ref="B60:D60"/>
    <mergeCell ref="B64:D64"/>
    <mergeCell ref="B67:D67"/>
  </mergeCells>
  <phoneticPr fontId="2" type="noConversion"/>
  <pageMargins left="0.3" right="0.28000000000000003" top="1.1000000000000001" bottom="0.69" header="0.39" footer="0.46"/>
  <pageSetup paperSize="9" orientation="portrait" r:id="rId1"/>
  <headerFooter alignWithMargins="0">
    <oddHeader>&amp;C&amp;"돋움,굵게"&amp;14
교직과정 이수예정자 선발가능 인원&amp;R
(단위 : 명)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선발가능인원_</vt:lpstr>
      <vt:lpstr>선발가능인원_!Print_Titles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미영</cp:lastModifiedBy>
  <dcterms:created xsi:type="dcterms:W3CDTF">2023-02-01T01:33:41Z</dcterms:created>
  <dcterms:modified xsi:type="dcterms:W3CDTF">2026-03-30T04:47:57Z</dcterms:modified>
</cp:coreProperties>
</file>